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e597b6eba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on" sheetId="1" r:id="R43b4f352fb2f49e3"/>
    <x:sheet xmlns:r="http://schemas.openxmlformats.org/officeDocument/2006/relationships" name="Velocity" sheetId="2" r:id="R5cbdf739247b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"/>
  </x:numFmts>
  <x:fonts count="5">
    <x:font>
      <x:sz val="11"/>
      <x:name val="Carlito"/>
    </x:font>
    <x:font>
      <x:sz val="10"/>
      <x:color rgb="FF17212D"/>
      <x:name val="Microsoft YaHei"/>
    </x:font>
    <x:font>
      <x:b/>
      <x:sz val="14"/>
      <x:color rgb="FF17212D"/>
      <x:name val="Microsoft YaHei"/>
    </x:font>
    <x:font>
      <x:sz val="9"/>
      <x:color rgb="FF435366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34A65"/>
      </x:patternFill>
    </x:fill>
    <x:fill>
      <x:patternFill patternType="solid">
        <x:fgColor rgb="FFEDF3F7"/>
      </x:patternFill>
    </x:fill>
    <x:fill>
      <x:patternFill patternType="solid">
        <x:fgColor rgb="FFFFFFFF"/>
      </x:patternFill>
    </x:fill>
  </x:fills>
  <x:borders count="6">
    <x:border/>
    <x:border>
      <x:bottom style="thin">
        <x:color rgb="FF9FB1B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7E1E8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1" fillId="3" borderId="5" xfId="0" applyNumberFormat="1" applyFont="1" applyFill="1" applyBorder="1" applyAlignment="1">
      <x:alignment horizontal="right" vertical="center"/>
    </x:xf>
    <x:xf numFmtId="0" fontId="1" fillId="3" borderId="5" xfId="0" applyNumberFormat="1" applyFont="1" applyFill="1" applyBorder="1" applyAlignment="1">
      <x:alignment horizontal="left" vertical="center"/>
    </x:xf>
    <x:xf numFmtId="202" fontId="1" fillId="3" borderId="5" xfId="0" applyNumberFormat="1" applyFont="1" applyFill="1" applyBorder="1" applyAlignment="1">
      <x:alignment horizontal="right" vertical="center"/>
    </x:xf>
    <x:xf numFmtId="201" fontId="1" fillId="3" borderId="5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horizontal="left" vertical="center"/>
    </x:xf>
    <x:xf numFmtId="202" fontId="1" fillId="4" borderId="5" xfId="0" applyNumberFormat="1" applyFont="1" applyFill="1" applyBorder="1" applyAlignment="1">
      <x:alignment horizontal="right" vertical="center"/>
    </x:xf>
    <x:xf numFmtId="201" fontId="1" fillId="4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0b35a2b5d48c2" /><Relationship Type="http://schemas.openxmlformats.org/officeDocument/2006/relationships/theme" Target="/xl/theme/theme1.xml" Id="R1f53ad3f6f124681" /><Relationship Type="http://schemas.openxmlformats.org/officeDocument/2006/relationships/sharedStrings" Target="/xl/sharedStrings.xml" Id="R9dc04e4357d245b9" /><Relationship Type="http://schemas.openxmlformats.org/officeDocument/2006/relationships/worksheet" Target="/xl/worksheets/sheet1.xml" Id="R43b4f352fb2f49e3" /><Relationship Type="http://schemas.openxmlformats.org/officeDocument/2006/relationships/worksheet" Target="/xl/worksheets/sheet2.xml" Id="R5cbdf739247b49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A65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8.130000114440918" hidden="0" customWidth="1"/>
    <x:col min="2" max="2" width="14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.5" customHeight="1">
      <x:c r="A2" s="3" t="str">
        <x:v>MMAUD 每秒位置与模型后验方差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7.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18.75" customHeight="1">
      <x:c r="A4" s="6" t="str">
        <x:v>来源：MMAUD V1 Mavic3。冻结1.6日志每秒样本，两方法各10条。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.75" customHeight="1">
      <x:c r="A5" s="6" t="str">
        <x:v>坐标：雷达系。t为初始化后时间，t_log为原日志时间。数字保留源精度。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18.75" customHeight="1">
      <x:c r="A6" s="6" t="str">
        <x:v>Var为模型P后验对角，不等于实测误差方差；标定参数不确定度未完整传播。GT速度方差未知。该片段仍为探索性。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18.75" customHeight="1">
      <x:c r="A7" s="6" t="str">
        <x:v>x_ref、y_ref、z_ref来自真实Leica位置插值及冻结坐标变换。位置单位m，方差单位m²。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</x:row>
    <x:row r="8" ht="18.75" customHeight="1">
      <x:c r="A8" s="6" t="str">
        <x:v>状态和P来自冻结滤波后验，每秒采样，无重新运行或状态插值。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</x:row>
    <x:row r="9" ht="18.75" customHeight="1">
      <x:c r="A9" s="6" t="str">
        <x:v>仅雷达 t=0–4 s 的重复位置来自原日志，不是补值；旧回波最近点策略导致停滞。</x:v>
      </x:c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</x:row>
    <x:row r="10" ht="18.75" customHeight="1">
      <x:c r="A10" s="6" t="str">
        <x:v>MMAUD：https://ntu-aris.github.io/MMAUD/。ICRA2024，DOI 10.1109/ICRA57147.2024.10610957。</x:v>
      </x:c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</x:row>
    <x:row r="11" ht="25.5" customHeight="1">
      <x:c r="A11" s="15" t="str">
        <x:v>t (s)</x:v>
      </x:c>
      <x:c r="B11" s="16" t="str">
        <x:v>方法</x:v>
      </x:c>
      <x:c r="C11" s="16" t="str">
        <x:v>x (m)</x:v>
      </x:c>
      <x:c r="D11" s="16" t="str">
        <x:v>y (m)</x:v>
      </x:c>
      <x:c r="E11" s="16" t="str">
        <x:v>z (m)</x:v>
      </x:c>
      <x:c r="F11" s="16" t="str">
        <x:v>x_ref (m)</x:v>
      </x:c>
      <x:c r="G11" s="16" t="str">
        <x:v>y_ref (m)</x:v>
      </x:c>
      <x:c r="H11" s="16" t="str">
        <x:v>z_ref (m)</x:v>
      </x:c>
      <x:c r="I11" s="16" t="str">
        <x:v>Var(x) (m²)</x:v>
      </x:c>
      <x:c r="J11" s="16" t="str">
        <x:v>Var(y) (m²)</x:v>
      </x:c>
      <x:c r="K11" s="16" t="str">
        <x:v>Var(z) (m²)</x:v>
      </x:c>
      <x:c r="L11" s="17" t="str">
        <x:v>t_log (s)</x:v>
      </x:c>
    </x:row>
    <x:row r="12" ht="18.75" customHeight="1">
      <x:c r="A12" s="23" t="n">
        <x:v>0</x:v>
      </x:c>
      <x:c r="B12" s="24" t="str">
        <x:v>仅雷达</x:v>
      </x:c>
      <x:c r="C12" s="25" t="n">
        <x:v>0.05214371532201767</x:v>
      </x:c>
      <x:c r="D12" s="25" t="n">
        <x:v>-0.1325264722108841</x:v>
      </x:c>
      <x:c r="E12" s="25" t="n">
        <x:v>9.020475387573242</x:v>
      </x:c>
      <x:c r="F12" s="25" t="n">
        <x:v>-0.06398507970005271</x:v>
      </x:c>
      <x:c r="G12" s="25" t="n">
        <x:v>0.06980218593169352</x:v>
      </x:c>
      <x:c r="H12" s="25" t="n">
        <x:v>9.074242312777734</x:v>
      </x:c>
      <x:c r="I12" s="26" t="n">
        <x:v>0.10214955413622713</x:v>
      </x:c>
      <x:c r="J12" s="26" t="n">
        <x:v>0.7671504656294204</x:v>
      </x:c>
      <x:c r="K12" s="26" t="n">
        <x:v>0.09</x:v>
      </x:c>
      <x:c r="L12" s="26" t="n">
        <x:v>72.512097</x:v>
      </x:c>
    </x:row>
    <x:row r="13" ht="18.75" customHeight="1">
      <x:c r="A13" s="27" t="n">
        <x:v>0</x:v>
      </x:c>
      <x:c r="B13" s="28" t="str">
        <x:v>雷达＋相机</x:v>
      </x:c>
      <x:c r="C13" s="29" t="n">
        <x:v>0.05214371532201767</x:v>
      </x:c>
      <x:c r="D13" s="29" t="n">
        <x:v>-0.1325264722108841</x:v>
      </x:c>
      <x:c r="E13" s="29" t="n">
        <x:v>9.020475387573242</x:v>
      </x:c>
      <x:c r="F13" s="29" t="n">
        <x:v>-0.06398507970005271</x:v>
      </x:c>
      <x:c r="G13" s="29" t="n">
        <x:v>0.06980218593169352</x:v>
      </x:c>
      <x:c r="H13" s="29" t="n">
        <x:v>9.074242312777734</x:v>
      </x:c>
      <x:c r="I13" s="30" t="n">
        <x:v>0.10214955413622713</x:v>
      </x:c>
      <x:c r="J13" s="30" t="n">
        <x:v>0.7671504656294204</x:v>
      </x:c>
      <x:c r="K13" s="30" t="n">
        <x:v>0.09</x:v>
      </x:c>
      <x:c r="L13" s="30" t="n">
        <x:v>72.512097</x:v>
      </x:c>
    </x:row>
    <x:row r="14" ht="18.75" customHeight="1">
      <x:c r="A14" s="31" t="n">
        <x:v>1</x:v>
      </x:c>
      <x:c r="B14" s="32" t="str">
        <x:v>仅雷达</x:v>
      </x:c>
      <x:c r="C14" s="33" t="n">
        <x:v>0.05214371532201767</x:v>
      </x:c>
      <x:c r="D14" s="33" t="n">
        <x:v>-0.1325264722108841</x:v>
      </x:c>
      <x:c r="E14" s="33" t="n">
        <x:v>9.020475387573242</x:v>
      </x:c>
      <x:c r="F14" s="33" t="n">
        <x:v>-0.16580604112619154</x:v>
      </x:c>
      <x:c r="G14" s="33" t="n">
        <x:v>0.07725633512402065</x:v>
      </x:c>
      <x:c r="H14" s="33" t="n">
        <x:v>9.080571064109924</x:v>
      </x:c>
      <x:c r="I14" s="34" t="n">
        <x:v>0.17200862588928276</x:v>
      </x:c>
      <x:c r="J14" s="34" t="n">
        <x:v>0.9137785667451692</x:v>
      </x:c>
      <x:c r="K14" s="34" t="n">
        <x:v>0.1531904761320965</x:v>
      </x:c>
      <x:c r="L14" s="34" t="n">
        <x:v>73.512097</x:v>
      </x:c>
    </x:row>
    <x:row r="15" ht="18.75" customHeight="1">
      <x:c r="A15" s="35" t="n">
        <x:v>1</x:v>
      </x:c>
      <x:c r="B15" s="36" t="str">
        <x:v>雷达＋相机</x:v>
      </x:c>
      <x:c r="C15" s="37" t="n">
        <x:v>-0.11046446117908539</x:v>
      </x:c>
      <x:c r="D15" s="37" t="n">
        <x:v>0.12268407217180599</x:v>
      </x:c>
      <x:c r="E15" s="37" t="n">
        <x:v>9.315273522990017</x:v>
      </x:c>
      <x:c r="F15" s="37" t="n">
        <x:v>-0.16580604112619154</x:v>
      </x:c>
      <x:c r="G15" s="37" t="n">
        <x:v>0.07725633512402065</x:v>
      </x:c>
      <x:c r="H15" s="37" t="n">
        <x:v>9.080571064109924</x:v>
      </x:c>
      <x:c r="I15" s="38" t="n">
        <x:v>0.003414531300286132</x:v>
      </x:c>
      <x:c r="J15" s="38" t="n">
        <x:v>0.013192098408298672</x:v>
      </x:c>
      <x:c r="K15" s="38" t="n">
        <x:v>0.1530448176824504</x:v>
      </x:c>
      <x:c r="L15" s="38" t="n">
        <x:v>73.512097</x:v>
      </x:c>
    </x:row>
    <x:row r="16" ht="18.75" customHeight="1">
      <x:c r="A16" s="23" t="n">
        <x:v>2</x:v>
      </x:c>
      <x:c r="B16" s="24" t="str">
        <x:v>仅雷达</x:v>
      </x:c>
      <x:c r="C16" s="25" t="n">
        <x:v>0.05214371532201767</x:v>
      </x:c>
      <x:c r="D16" s="25" t="n">
        <x:v>-0.1325264722108841</x:v>
      </x:c>
      <x:c r="E16" s="25" t="n">
        <x:v>9.020475387573242</x:v>
      </x:c>
      <x:c r="F16" s="25" t="n">
        <x:v>-0.5372085388825261</x:v>
      </x:c>
      <x:c r="G16" s="25" t="n">
        <x:v>0.20166328015876706</x:v>
      </x:c>
      <x:c r="H16" s="25" t="n">
        <x:v>9.090863785271702</x:v>
      </x:c>
      <x:c r="I16" s="26" t="n">
        <x:v>0.02870185574716312</x:v>
      </x:c>
      <x:c r="J16" s="26" t="n">
        <x:v>0.16600878915803352</x:v>
      </x:c>
      <x:c r="K16" s="26" t="n">
        <x:v>0.025950399135287166</x:v>
      </x:c>
      <x:c r="L16" s="26" t="n">
        <x:v>74.512097</x:v>
      </x:c>
    </x:row>
    <x:row r="17" ht="18.75" customHeight="1">
      <x:c r="A17" s="27" t="n">
        <x:v>2</x:v>
      </x:c>
      <x:c r="B17" s="28" t="str">
        <x:v>雷达＋相机</x:v>
      </x:c>
      <x:c r="C17" s="29" t="n">
        <x:v>-0.4925957769735324</x:v>
      </x:c>
      <x:c r="D17" s="29" t="n">
        <x:v>0.15631312016361795</x:v>
      </x:c>
      <x:c r="E17" s="29" t="n">
        <x:v>9.205993572352519</x:v>
      </x:c>
      <x:c r="F17" s="29" t="n">
        <x:v>-0.5372085388825261</x:v>
      </x:c>
      <x:c r="G17" s="29" t="n">
        <x:v>0.20166328015876706</x:v>
      </x:c>
      <x:c r="H17" s="29" t="n">
        <x:v>9.090863785271702</x:v>
      </x:c>
      <x:c r="I17" s="30" t="n">
        <x:v>0.0029532064473806454</x:v>
      </x:c>
      <x:c r="J17" s="30" t="n">
        <x:v>0.010113440100716846</x:v>
      </x:c>
      <x:c r="K17" s="30" t="n">
        <x:v>0.025928168491706895</x:v>
      </x:c>
      <x:c r="L17" s="30" t="n">
        <x:v>74.512097</x:v>
      </x:c>
    </x:row>
    <x:row r="18" ht="18.75" customHeight="1">
      <x:c r="A18" s="31" t="n">
        <x:v>3</x:v>
      </x:c>
      <x:c r="B18" s="32" t="str">
        <x:v>仅雷达</x:v>
      </x:c>
      <x:c r="C18" s="33" t="n">
        <x:v>0.05214371532201767</x:v>
      </x:c>
      <x:c r="D18" s="33" t="n">
        <x:v>-0.1325264722108841</x:v>
      </x:c>
      <x:c r="E18" s="33" t="n">
        <x:v>9.020475387573242</x:v>
      </x:c>
      <x:c r="F18" s="33" t="n">
        <x:v>-0.8101358672094372</x:v>
      </x:c>
      <x:c r="G18" s="33" t="n">
        <x:v>0.48813224256323917</x:v>
      </x:c>
      <x:c r="H18" s="33" t="n">
        <x:v>9.11606549397781</x:v>
      </x:c>
      <x:c r="I18" s="34" t="n">
        <x:v>0.04147916389230225</x:v>
      </x:c>
      <x:c r="J18" s="34" t="n">
        <x:v>0.17131035842722325</x:v>
      </x:c>
      <x:c r="K18" s="34" t="n">
        <x:v>0.03799561886150922</x:v>
      </x:c>
      <x:c r="L18" s="34" t="n">
        <x:v>75.512097</x:v>
      </x:c>
    </x:row>
    <x:row r="19" ht="18.75" customHeight="1">
      <x:c r="A19" s="35" t="n">
        <x:v>3</x:v>
      </x:c>
      <x:c r="B19" s="36" t="str">
        <x:v>雷达＋相机</x:v>
      </x:c>
      <x:c r="C19" s="37" t="n">
        <x:v>-0.7947288582326443</x:v>
      </x:c>
      <x:c r="D19" s="37" t="n">
        <x:v>0.3978025349778257</x:v>
      </x:c>
      <x:c r="E19" s="37" t="n">
        <x:v>9.18127500297106</x:v>
      </x:c>
      <x:c r="F19" s="37" t="n">
        <x:v>-0.8101358672094372</x:v>
      </x:c>
      <x:c r="G19" s="37" t="n">
        <x:v>0.48813224256323917</x:v>
      </x:c>
      <x:c r="H19" s="37" t="n">
        <x:v>9.11606549397781</x:v>
      </x:c>
      <x:c r="I19" s="38" t="n">
        <x:v>0.002976735274014369</x:v>
      </x:c>
      <x:c r="J19" s="38" t="n">
        <x:v>0.009859561809338056</x:v>
      </x:c>
      <x:c r="K19" s="38" t="n">
        <x:v>0.03789563952853482</x:v>
      </x:c>
      <x:c r="L19" s="38" t="n">
        <x:v>75.512097</x:v>
      </x:c>
    </x:row>
    <x:row r="20" ht="18.75" customHeight="1">
      <x:c r="A20" s="23" t="n">
        <x:v>4</x:v>
      </x:c>
      <x:c r="B20" s="24" t="str">
        <x:v>仅雷达</x:v>
      </x:c>
      <x:c r="C20" s="25" t="n">
        <x:v>0.05214371532201767</x:v>
      </x:c>
      <x:c r="D20" s="25" t="n">
        <x:v>-0.1325264722108841</x:v>
      </x:c>
      <x:c r="E20" s="25" t="n">
        <x:v>9.020475387573242</x:v>
      </x:c>
      <x:c r="F20" s="25" t="n">
        <x:v>-0.31046072292700017</x:v>
      </x:c>
      <x:c r="G20" s="25" t="n">
        <x:v>0.83619218085542</x:v>
      </x:c>
      <x:c r="H20" s="25" t="n">
        <x:v>9.135444468673388</x:v>
      </x:c>
      <x:c r="I20" s="26" t="n">
        <x:v>0.033760539378553084</x:v>
      </x:c>
      <x:c r="J20" s="26" t="n">
        <x:v>0.1435547092390764</x:v>
      </x:c>
      <x:c r="K20" s="26" t="n">
        <x:v>0.030836807916233805</x:v>
      </x:c>
      <x:c r="L20" s="26" t="n">
        <x:v>76.512097</x:v>
      </x:c>
    </x:row>
    <x:row r="21" ht="18.75" customHeight="1">
      <x:c r="A21" s="27" t="n">
        <x:v>4</x:v>
      </x:c>
      <x:c r="B21" s="28" t="str">
        <x:v>雷达＋相机</x:v>
      </x:c>
      <x:c r="C21" s="29" t="n">
        <x:v>-0.4255866699768359</x:v>
      </x:c>
      <x:c r="D21" s="29" t="n">
        <x:v>0.813089101342268</x:v>
      </x:c>
      <x:c r="E21" s="29" t="n">
        <x:v>9.214703783887005</x:v>
      </x:c>
      <x:c r="F21" s="29" t="n">
        <x:v>-0.31046072292700017</x:v>
      </x:c>
      <x:c r="G21" s="29" t="n">
        <x:v>0.83619218085542</x:v>
      </x:c>
      <x:c r="H21" s="29" t="n">
        <x:v>9.135444468673388</x:v>
      </x:c>
      <x:c r="I21" s="30" t="n">
        <x:v>0.002882820917631488</x:v>
      </x:c>
      <x:c r="J21" s="30" t="n">
        <x:v>0.00941867115565604</x:v>
      </x:c>
      <x:c r="K21" s="30" t="n">
        <x:v>0.030782385458234116</x:v>
      </x:c>
      <x:c r="L21" s="30" t="n">
        <x:v>76.512097</x:v>
      </x:c>
    </x:row>
    <x:row r="22" ht="18.75" customHeight="1">
      <x:c r="A22" s="31" t="n">
        <x:v>5</x:v>
      </x:c>
      <x:c r="B22" s="32" t="str">
        <x:v>仅雷达</x:v>
      </x:c>
      <x:c r="C22" s="33" t="n">
        <x:v>-0.08293874677241983</x:v>
      </x:c>
      <x:c r="D22" s="33" t="n">
        <x:v>-0.1253583061913183</x:v>
      </x:c>
      <x:c r="E22" s="33" t="n">
        <x:v>9.02038236160942</x:v>
      </x:c>
      <x:c r="F22" s="33" t="n">
        <x:v>0.35299886842508416</x:v>
      </x:c>
      <x:c r="G22" s="33" t="n">
        <x:v>0.8024541894398816</x:v>
      </x:c>
      <x:c r="H22" s="33" t="n">
        <x:v>9.124902315577401</x:v>
      </x:c>
      <x:c r="I22" s="34" t="n">
        <x:v>0.04262412644688806</x:v>
      </x:c>
      <x:c r="J22" s="34" t="n">
        <x:v>0.1807040049515241</x:v>
      </x:c>
      <x:c r="K22" s="34" t="n">
        <x:v>0.03894191868961868</x:v>
      </x:c>
      <x:c r="L22" s="34" t="n">
        <x:v>77.512097</x:v>
      </x:c>
    </x:row>
    <x:row r="23" ht="18.75" customHeight="1">
      <x:c r="A23" s="35" t="n">
        <x:v>5</x:v>
      </x:c>
      <x:c r="B23" s="36" t="str">
        <x:v>雷达＋相机</x:v>
      </x:c>
      <x:c r="C23" s="37" t="n">
        <x:v>0.23359887312420627</x:v>
      </x:c>
      <x:c r="D23" s="37" t="n">
        <x:v>0.8834246471049829</x:v>
      </x:c>
      <x:c r="E23" s="37" t="n">
        <x:v>9.204266635134047</x:v>
      </x:c>
      <x:c r="F23" s="37" t="n">
        <x:v>0.35299886842508416</x:v>
      </x:c>
      <x:c r="G23" s="37" t="n">
        <x:v>0.8024541894398816</x:v>
      </x:c>
      <x:c r="H23" s="37" t="n">
        <x:v>9.124902315577401</x:v>
      </x:c>
      <x:c r="I23" s="38" t="n">
        <x:v>0.003122858304063598</x:v>
      </x:c>
      <x:c r="J23" s="38" t="n">
        <x:v>0.009433048766044005</x:v>
      </x:c>
      <x:c r="K23" s="38" t="n">
        <x:v>0.03876820425421907</x:v>
      </x:c>
      <x:c r="L23" s="38" t="n">
        <x:v>77.512097</x:v>
      </x:c>
    </x:row>
    <x:row r="24" ht="18.75" customHeight="1">
      <x:c r="A24" s="23" t="n">
        <x:v>6</x:v>
      </x:c>
      <x:c r="B24" s="24" t="str">
        <x:v>仅雷达</x:v>
      </x:c>
      <x:c r="C24" s="25" t="n">
        <x:v>-0.5025149975876178</x:v>
      </x:c>
      <x:c r="D24" s="25" t="n">
        <x:v>0.07059878592475825</x:v>
      </x:c>
      <x:c r="E24" s="25" t="n">
        <x:v>9.009174389110472</x:v>
      </x:c>
      <x:c r="F24" s="25" t="n">
        <x:v>0.2770919787990358</x:v>
      </x:c>
      <x:c r="G24" s="25" t="n">
        <x:v>0.3882946587069599</x:v>
      </x:c>
      <x:c r="H24" s="25" t="n">
        <x:v>9.099177337604717</x:v>
      </x:c>
      <x:c r="I24" s="26" t="n">
        <x:v>0.03521882251696482</x:v>
      </x:c>
      <x:c r="J24" s="26" t="n">
        <x:v>0.15932721353771853</x:v>
      </x:c>
      <x:c r="K24" s="26" t="n">
        <x:v>0.03204194448848406</x:v>
      </x:c>
      <x:c r="L24" s="26" t="n">
        <x:v>78.512097</x:v>
      </x:c>
    </x:row>
    <x:row r="25" ht="18.75" customHeight="1">
      <x:c r="A25" s="27" t="n">
        <x:v>6</x:v>
      </x:c>
      <x:c r="B25" s="28" t="str">
        <x:v>雷达＋相机</x:v>
      </x:c>
      <x:c r="C25" s="29" t="n">
        <x:v>0.4090884779358008</x:v>
      </x:c>
      <x:c r="D25" s="29" t="n">
        <x:v>0.5129120665217184</x:v>
      </x:c>
      <x:c r="E25" s="29" t="n">
        <x:v>9.222877646173888</x:v>
      </x:c>
      <x:c r="F25" s="29" t="n">
        <x:v>0.2770919787990358</x:v>
      </x:c>
      <x:c r="G25" s="29" t="n">
        <x:v>0.3882946587069599</x:v>
      </x:c>
      <x:c r="H25" s="29" t="n">
        <x:v>9.099177337604717</x:v>
      </x:c>
      <x:c r="I25" s="30" t="n">
        <x:v>0.003313739151204308</x:v>
      </x:c>
      <x:c r="J25" s="30" t="n">
        <x:v>0.009858907206916444</x:v>
      </x:c>
      <x:c r="K25" s="30" t="n">
        <x:v>0.03184473095703407</x:v>
      </x:c>
      <x:c r="L25" s="30" t="n">
        <x:v>78.512097</x:v>
      </x:c>
    </x:row>
    <x:row r="26" ht="18.75" customHeight="1">
      <x:c r="A26" s="31" t="n">
        <x:v>7</x:v>
      </x:c>
      <x:c r="B26" s="32" t="str">
        <x:v>仅雷达</x:v>
      </x:c>
      <x:c r="C26" s="33" t="n">
        <x:v>-0.708522172557935</x:v>
      </x:c>
      <x:c r="D26" s="33" t="n">
        <x:v>0.36404310461961076</x:v>
      </x:c>
      <x:c r="E26" s="33" t="n">
        <x:v>8.988385089396603</x:v>
      </x:c>
      <x:c r="F26" s="33" t="n">
        <x:v>-0.74255176573916</x:v>
      </x:c>
      <x:c r="G26" s="33" t="n">
        <x:v>-0.06284749934503854</x:v>
      </x:c>
      <x:c r="H26" s="33" t="n">
        <x:v>9.114754266252277</x:v>
      </x:c>
      <x:c r="I26" s="34" t="n">
        <x:v>0.0267194253797215</x:v>
      </x:c>
      <x:c r="J26" s="34" t="n">
        <x:v>0.12892747658231885</x:v>
      </x:c>
      <x:c r="K26" s="34" t="n">
        <x:v>0.024219902414451266</x:v>
      </x:c>
      <x:c r="L26" s="34" t="n">
        <x:v>79.512097</x:v>
      </x:c>
    </x:row>
    <x:row r="27" ht="18.75" customHeight="1">
      <x:c r="A27" s="35" t="n">
        <x:v>7</x:v>
      </x:c>
      <x:c r="B27" s="36" t="str">
        <x:v>雷达＋相机</x:v>
      </x:c>
      <x:c r="C27" s="37" t="n">
        <x:v>-0.5884019042302253</x:v>
      </x:c>
      <x:c r="D27" s="37" t="n">
        <x:v>0.0028680898388350486</x:v>
      </x:c>
      <x:c r="E27" s="37" t="n">
        <x:v>9.122035255879469</x:v>
      </x:c>
      <x:c r="F27" s="37" t="n">
        <x:v>-0.74255176573916</x:v>
      </x:c>
      <x:c r="G27" s="37" t="n">
        <x:v>-0.06284749934503854</x:v>
      </x:c>
      <x:c r="H27" s="37" t="n">
        <x:v>9.114754266252277</x:v>
      </x:c>
      <x:c r="I27" s="38" t="n">
        <x:v>0.002923177825562972</x:v>
      </x:c>
      <x:c r="J27" s="38" t="n">
        <x:v>0.01008908999240099</x:v>
      </x:c>
      <x:c r="K27" s="38" t="n">
        <x:v>0.024118664039276604</x:v>
      </x:c>
      <x:c r="L27" s="38" t="n">
        <x:v>79.512097</x:v>
      </x:c>
    </x:row>
    <x:row r="28" ht="18.75" customHeight="1">
      <x:c r="A28" s="23" t="n">
        <x:v>8</x:v>
      </x:c>
      <x:c r="B28" s="24" t="str">
        <x:v>仅雷达</x:v>
      </x:c>
      <x:c r="C28" s="25" t="n">
        <x:v>0.20042546933572555</x:v>
      </x:c>
      <x:c r="D28" s="25" t="n">
        <x:v>0.6854369391139296</x:v>
      </x:c>
      <x:c r="E28" s="25" t="n">
        <x:v>8.995531048639679</x:v>
      </x:c>
      <x:c r="F28" s="25" t="n">
        <x:v>-1.2565036148480018</x:v>
      </x:c>
      <x:c r="G28" s="25" t="n">
        <x:v>-0.25509640883011864</x:v>
      </x:c>
      <x:c r="H28" s="25" t="n">
        <x:v>9.121853228728039</x:v>
      </x:c>
      <x:c r="I28" s="26" t="n">
        <x:v>0.023201686073553933</x:v>
      </x:c>
      <x:c r="J28" s="26" t="n">
        <x:v>0.10154994081404446</x:v>
      </x:c>
      <x:c r="K28" s="26" t="n">
        <x:v>0.021158047185147546</x:v>
      </x:c>
      <x:c r="L28" s="26" t="n">
        <x:v>80.512097</x:v>
      </x:c>
    </x:row>
    <x:row r="29" ht="18.75" customHeight="1">
      <x:c r="A29" s="27" t="n">
        <x:v>8</x:v>
      </x:c>
      <x:c r="B29" s="28" t="str">
        <x:v>雷达＋相机</x:v>
      </x:c>
      <x:c r="C29" s="29" t="n">
        <x:v>-1.2386252425738329</x:v>
      </x:c>
      <x:c r="D29" s="29" t="n">
        <x:v>-0.28216034400314577</x:v>
      </x:c>
      <x:c r="E29" s="29" t="n">
        <x:v>9.22366637685988</x:v>
      </x:c>
      <x:c r="F29" s="29" t="n">
        <x:v>-1.2565036148480018</x:v>
      </x:c>
      <x:c r="G29" s="29" t="n">
        <x:v>-0.25509640883011864</x:v>
      </x:c>
      <x:c r="H29" s="29" t="n">
        <x:v>9.121853228728039</x:v>
      </x:c>
      <x:c r="I29" s="30" t="n">
        <x:v>0.002988821245721239</x:v>
      </x:c>
      <x:c r="J29" s="30" t="n">
        <x:v>0.010354553777480693</x:v>
      </x:c>
      <x:c r="K29" s="30" t="n">
        <x:v>0.020931493164477767</x:v>
      </x:c>
      <x:c r="L29" s="30" t="n">
        <x:v>80.512097</x:v>
      </x:c>
    </x:row>
    <x:row r="30" ht="18.75" customHeight="1">
      <x:c r="A30" s="31" t="n">
        <x:v>9</x:v>
      </x:c>
      <x:c r="B30" s="32" t="str">
        <x:v>仅雷达</x:v>
      </x:c>
      <x:c r="C30" s="33" t="n">
        <x:v>0.7474997540211434</x:v>
      </x:c>
      <x:c r="D30" s="33" t="n">
        <x:v>0.5963020296143764</x:v>
      </x:c>
      <x:c r="E30" s="33" t="n">
        <x:v>8.989781476388465</x:v>
      </x:c>
      <x:c r="F30" s="33" t="n">
        <x:v>-0.9842037006174325</x:v>
      </x:c>
      <x:c r="G30" s="33" t="n">
        <x:v>-0.17363082215000242</x:v>
      </x:c>
      <x:c r="H30" s="33" t="n">
        <x:v>9.12772025539123</x:v>
      </x:c>
      <x:c r="I30" s="34" t="n">
        <x:v>0.023372204540251237</x:v>
      </x:c>
      <x:c r="J30" s="34" t="n">
        <x:v>0.10440990592711556</x:v>
      </x:c>
      <x:c r="K30" s="34" t="n">
        <x:v>0.021294041341281333</x:v>
      </x:c>
      <x:c r="L30" s="34" t="n">
        <x:v>81.512097</x:v>
      </x:c>
    </x:row>
    <x:row r="31" ht="18.75" customHeight="1">
      <x:c r="A31" s="35" t="n">
        <x:v>9</x:v>
      </x:c>
      <x:c r="B31" s="36" t="str">
        <x:v>雷达＋相机</x:v>
      </x:c>
      <x:c r="C31" s="37" t="n">
        <x:v>-1.037208696220094</x:v>
      </x:c>
      <x:c r="D31" s="37" t="n">
        <x:v>-0.23639158813639718</x:v>
      </x:c>
      <x:c r="E31" s="37" t="n">
        <x:v>9.312953775342569</x:v>
      </x:c>
      <x:c r="F31" s="37" t="n">
        <x:v>-0.9842037006174325</x:v>
      </x:c>
      <x:c r="G31" s="37" t="n">
        <x:v>-0.17363082215000242</x:v>
      </x:c>
      <x:c r="H31" s="37" t="n">
        <x:v>9.12772025539123</x:v>
      </x:c>
      <x:c r="I31" s="38" t="n">
        <x:v>0.0030230719492954565</x:v>
      </x:c>
      <x:c r="J31" s="38" t="n">
        <x:v>0.010595473934695319</x:v>
      </x:c>
      <x:c r="K31" s="38" t="n">
        <x:v>0.021143907969531067</x:v>
      </x:c>
      <x:c r="L31" s="38" t="n">
        <x:v>81.512097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6383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8.130000114440918" hidden="0" customWidth="1"/>
    <x:col min="2" max="2" width="14" hidden="0" customWidth="1"/>
    <x:col min="3" max="3" width="12.75" hidden="0" customWidth="1"/>
    <x:col min="4" max="4" width="12.75" hidden="0" customWidth="1"/>
    <x:col min="5" max="5" width="12.75" hidden="0" customWidth="1"/>
    <x:col min="6" max="6" width="12.75" hidden="0" customWidth="1"/>
    <x:col min="7" max="7" width="12.75" hidden="0" customWidth="1"/>
    <x:col min="8" max="8" width="12.75" hidden="0" customWidth="1"/>
    <x:col min="9" max="9" width="12.75" hidden="0" customWidth="1"/>
    <x:col min="10" max="10" width="12.75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.5" customHeight="1">
      <x:c r="A2" s="3" t="str">
        <x:v>MMAUD 每秒速度与模型后验方差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7.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18.75" customHeight="1">
      <x:c r="A4" s="6" t="str">
        <x:v>来源：MMAUD V1 Mavic3。冻结1.6日志每秒样本，两方法各10条。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18.75" customHeight="1">
      <x:c r="A5" s="6" t="str">
        <x:v>坐标：雷达系。t为初始化后时间，t_log为原日志时间。数字保留源精度。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18.75" customHeight="1">
      <x:c r="A6" s="6" t="str">
        <x:v>Var为模型P后验对角，不等于实测误差方差；标定参数不确定度未完整传播。GT速度方差未知。该片段仍为探索性。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 ht="18.75" customHeight="1">
      <x:c r="A7" s="6" t="str">
        <x:v>V_ref由真实位置前后各0.5 s线性插值后中心差分得到，是1 s平均参考速度，非直接测速。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 ht="18.75" customHeight="1">
      <x:c r="A8" s="6" t="str">
        <x:v>V_ref是1 s平均速度向量的模（净位移/1 s），不是路程平均速率。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 ht="18.75" customHeight="1">
      <x:c r="A9" s="6" t="str">
        <x:v>仅雷达 t=0–4 s 的零速度为原保存输出与旧回波选点所致，不表示真实目标静止。</x:v>
      </x:c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 ht="18.75" customHeight="1">
      <x:c r="A10" s="6" t="str">
        <x:v>MMAUD：https://ntu-aris.github.io/MMAUD/。ICRA2024，DOI 10.1109/ICRA57147.2024.10610957。</x:v>
      </x:c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 ht="30" customHeight="1">
      <x:c r="A11" s="15" t="str">
        <x:v>t (s)</x:v>
      </x:c>
      <x:c r="B11" s="16" t="str">
        <x:v>方法</x:v>
      </x:c>
      <x:c r="C11" s="16" t="str">
        <x:v>Vx (m/s)</x:v>
      </x:c>
      <x:c r="D11" s="16" t="str">
        <x:v>Vy (m/s)</x:v>
      </x:c>
      <x:c r="E11" s="16" t="str">
        <x:v>Vz (m/s)</x:v>
      </x:c>
      <x:c r="F11" s="16" t="str">
        <x:v>V (m/s)</x:v>
      </x:c>
      <x:c r="G11" s="16" t="str">
        <x:v>Vx_ref (m/s)</x:v>
      </x:c>
      <x:c r="H11" s="16" t="str">
        <x:v>Vy_ref (m/s)</x:v>
      </x:c>
      <x:c r="I11" s="16" t="str">
        <x:v>Vz_ref (m/s)</x:v>
      </x:c>
      <x:c r="J11" s="16" t="str">
        <x:v>V_ref (m/s)</x:v>
      </x:c>
      <x:c r="K11" s="16" t="str">
        <x:v>Var(Vx)
(m²/s²)</x:v>
      </x:c>
      <x:c r="L11" s="16" t="str">
        <x:v>Var(Vy)
(m²/s²)</x:v>
      </x:c>
      <x:c r="M11" s="16" t="str">
        <x:v>Var(Vz)
(m²/s²)</x:v>
      </x:c>
      <x:c r="N11" s="17" t="str">
        <x:v>t_log (s)</x:v>
      </x:c>
    </x:row>
    <x:row r="12" ht="18.75" customHeight="1">
      <x:c r="A12" s="23" t="n">
        <x:v>0</x:v>
      </x:c>
      <x:c r="B12" s="24" t="str">
        <x:v>仅雷达</x:v>
      </x:c>
      <x:c r="C12" s="25" t="n">
        <x:v>0</x:v>
      </x:c>
      <x:c r="D12" s="25" t="n">
        <x:v>0</x:v>
      </x:c>
      <x:c r="E12" s="25" t="n">
        <x:v>0</x:v>
      </x:c>
      <x:c r="F12" s="25" t="n">
        <x:f>SQRT(C12^2+D12^2+E12^2)</x:f>
        <x:v>0</x:v>
      </x:c>
      <x:c r="G12" s="25" t="n">
        <x:v>-0.030146934997373497</x:v>
      </x:c>
      <x:c r="H12" s="25" t="n">
        <x:v>0.01694010183893888</x:v>
      </x:c>
      <x:c r="I12" s="25" t="n">
        <x:v>0.0037089668142472423</x:v>
      </x:c>
      <x:c r="J12" s="25" t="n">
        <x:f>SQRT(G12^2+H12^2+I12^2)</x:f>
        <x:v>0.03477874602222845</x:v>
      </x:c>
      <x:c r="K12" s="26" t="n">
        <x:v>4</x:v>
      </x:c>
      <x:c r="L12" s="26" t="n">
        <x:v>4</x:v>
      </x:c>
      <x:c r="M12" s="26" t="n">
        <x:v>4</x:v>
      </x:c>
      <x:c r="N12" s="26" t="n">
        <x:v>72.512097</x:v>
      </x:c>
    </x:row>
    <x:row r="13" ht="18.75" customHeight="1">
      <x:c r="A13" s="27" t="n">
        <x:v>0</x:v>
      </x:c>
      <x:c r="B13" s="28" t="str">
        <x:v>雷达＋相机</x:v>
      </x:c>
      <x:c r="C13" s="29" t="n">
        <x:v>0</x:v>
      </x:c>
      <x:c r="D13" s="29" t="n">
        <x:v>0</x:v>
      </x:c>
      <x:c r="E13" s="29" t="n">
        <x:v>0</x:v>
      </x:c>
      <x:c r="F13" s="29" t="n">
        <x:f>SQRT(C13^2+D13^2+E13^2)</x:f>
        <x:v>0</x:v>
      </x:c>
      <x:c r="G13" s="29" t="n">
        <x:v>-0.030146934997373497</x:v>
      </x:c>
      <x:c r="H13" s="29" t="n">
        <x:v>0.01694010183893888</x:v>
      </x:c>
      <x:c r="I13" s="29" t="n">
        <x:v>0.0037089668142472423</x:v>
      </x:c>
      <x:c r="J13" s="29" t="n">
        <x:f>SQRT(G13^2+H13^2+I13^2)</x:f>
        <x:v>0.03477874602222845</x:v>
      </x:c>
      <x:c r="K13" s="30" t="n">
        <x:v>4</x:v>
      </x:c>
      <x:c r="L13" s="30" t="n">
        <x:v>4</x:v>
      </x:c>
      <x:c r="M13" s="30" t="n">
        <x:v>4</x:v>
      </x:c>
      <x:c r="N13" s="30" t="n">
        <x:v>72.512097</x:v>
      </x:c>
    </x:row>
    <x:row r="14" ht="18.75" customHeight="1">
      <x:c r="A14" s="31" t="n">
        <x:v>1</x:v>
      </x:c>
      <x:c r="B14" s="32" t="str">
        <x:v>仅雷达</x:v>
      </x:c>
      <x:c r="C14" s="33" t="n">
        <x:v>0</x:v>
      </x:c>
      <x:c r="D14" s="33" t="n">
        <x:v>0</x:v>
      </x:c>
      <x:c r="E14" s="33" t="n">
        <x:v>0</x:v>
      </x:c>
      <x:c r="F14" s="33" t="n">
        <x:f>SQRT(C14^2+D14^2+E14^2)</x:f>
        <x:v>0</x:v>
      </x:c>
      <x:c r="G14" s="33" t="n">
        <x:v>-0.25157023835248615</x:v>
      </x:c>
      <x:c r="H14" s="33" t="n">
        <x:v>0.06017020598535649</x:v>
      </x:c>
      <x:c r="I14" s="33" t="n">
        <x:v>-0.001220026124298163</x:v>
      </x:c>
      <x:c r="J14" s="33" t="n">
        <x:f>SQRT(G14^2+H14^2+I14^2)</x:f>
        <x:v>0.2586687591820684</x:v>
      </x:c>
      <x:c r="K14" s="34" t="n">
        <x:v>0.3486712210470774</x:v>
      </x:c>
      <x:c r="L14" s="34" t="n">
        <x:v>1.4997332535887882</x:v>
      </x:c>
      <x:c r="M14" s="34" t="n">
        <x:v>0.31825182157044585</x:v>
      </x:c>
      <x:c r="N14" s="34" t="n">
        <x:v>73.512097</x:v>
      </x:c>
    </x:row>
    <x:row r="15" ht="18.75" customHeight="1">
      <x:c r="A15" s="35" t="n">
        <x:v>1</x:v>
      </x:c>
      <x:c r="B15" s="36" t="str">
        <x:v>雷达＋相机</x:v>
      </x:c>
      <x:c r="C15" s="37" t="n">
        <x:v>-0.05472004777819136</x:v>
      </x:c>
      <x:c r="D15" s="37" t="n">
        <x:v>0.06283207153515329</x:v>
      </x:c>
      <x:c r="E15" s="37" t="n">
        <x:v>0.2990066448596153</x:v>
      </x:c>
      <x:c r="F15" s="37" t="n">
        <x:f>SQRT(C15^2+D15^2+E15^2)</x:f>
        <x:v>0.31039833522821975</x:v>
      </x:c>
      <x:c r="G15" s="37" t="n">
        <x:v>-0.25157023835248615</x:v>
      </x:c>
      <x:c r="H15" s="37" t="n">
        <x:v>0.06017020598535649</x:v>
      </x:c>
      <x:c r="I15" s="37" t="n">
        <x:v>-0.001220026124298163</x:v>
      </x:c>
      <x:c r="J15" s="37" t="n">
        <x:f>SQRT(G15^2+H15^2+I15^2)</x:f>
        <x:v>0.2586687591820684</x:v>
      </x:c>
      <x:c r="K15" s="38" t="n">
        <x:v>0.049966984648943676</x:v>
      </x:c>
      <x:c r="L15" s="38" t="n">
        <x:v>0.09116376215479358</x:v>
      </x:c>
      <x:c r="M15" s="38" t="n">
        <x:v>0.3179727686286868</x:v>
      </x:c>
      <x:c r="N15" s="38" t="n">
        <x:v>73.512097</x:v>
      </x:c>
    </x:row>
    <x:row r="16" ht="18.75" customHeight="1">
      <x:c r="A16" s="23" t="n">
        <x:v>2</x:v>
      </x:c>
      <x:c r="B16" s="24" t="str">
        <x:v>仅雷达</x:v>
      </x:c>
      <x:c r="C16" s="25" t="n">
        <x:v>0</x:v>
      </x:c>
      <x:c r="D16" s="25" t="n">
        <x:v>0</x:v>
      </x:c>
      <x:c r="E16" s="25" t="n">
        <x:v>0</x:v>
      </x:c>
      <x:c r="F16" s="25" t="n">
        <x:f>SQRT(C16^2+D16^2+E16^2)</x:f>
        <x:v>0</x:v>
      </x:c>
      <x:c r="G16" s="25" t="n">
        <x:v>-0.4153587173805571</x:v>
      </x:c>
      <x:c r="H16" s="25" t="n">
        <x:v>0.184104954344149</x:v>
      </x:c>
      <x:c r="I16" s="25" t="n">
        <x:v>0.01916355627894974</x:v>
      </x:c>
      <x:c r="J16" s="25" t="n">
        <x:f>SQRT(G16^2+H16^2+I16^2)</x:f>
        <x:v>0.45473590160371014</x:v>
      </x:c>
      <x:c r="K16" s="26" t="n">
        <x:v>0.11186207939688997</x:v>
      </x:c>
      <x:c r="L16" s="26" t="n">
        <x:v>0.21515124433780355</x:v>
      </x:c>
      <x:c r="M16" s="26" t="n">
        <x:v>0.10844576078861559</x:v>
      </x:c>
      <x:c r="N16" s="26" t="n">
        <x:v>74.512097</x:v>
      </x:c>
    </x:row>
    <x:row r="17" ht="18.75" customHeight="1">
      <x:c r="A17" s="27" t="n">
        <x:v>2</x:v>
      </x:c>
      <x:c r="B17" s="28" t="str">
        <x:v>雷达＋相机</x:v>
      </x:c>
      <x:c r="C17" s="29" t="n">
        <x:v>-0.41656375790330447</x:v>
      </x:c>
      <x:c r="D17" s="29" t="n">
        <x:v>0.03980526366776464</x:v>
      </x:c>
      <x:c r="E17" s="29" t="n">
        <x:v>0.030040409613617827</x:v>
      </x:c>
      <x:c r="F17" s="29" t="n">
        <x:f>SQRT(C17^2+D17^2+E17^2)</x:f>
        <x:v>0.41953813846173393</x:v>
      </x:c>
      <x:c r="G17" s="29" t="n">
        <x:v>-0.4153587173805571</x:v>
      </x:c>
      <x:c r="H17" s="29" t="n">
        <x:v>0.184104954344149</x:v>
      </x:c>
      <x:c r="I17" s="29" t="n">
        <x:v>0.01916355627894974</x:v>
      </x:c>
      <x:c r="J17" s="29" t="n">
        <x:f>SQRT(G17^2+H17^2+I17^2)</x:f>
        <x:v>0.45473590160371014</x:v>
      </x:c>
      <x:c r="K17" s="30" t="n">
        <x:v>0.04723806087115624</x:v>
      </x:c>
      <x:c r="L17" s="30" t="n">
        <x:v>0.07308029472584966</x:v>
      </x:c>
      <x:c r="M17" s="30" t="n">
        <x:v>0.10835832793359287</x:v>
      </x:c>
      <x:c r="N17" s="30" t="n">
        <x:v>74.512097</x:v>
      </x:c>
    </x:row>
    <x:row r="18" ht="18.75" customHeight="1">
      <x:c r="A18" s="31" t="n">
        <x:v>3</x:v>
      </x:c>
      <x:c r="B18" s="32" t="str">
        <x:v>仅雷达</x:v>
      </x:c>
      <x:c r="C18" s="33" t="n">
        <x:v>0</x:v>
      </x:c>
      <x:c r="D18" s="33" t="n">
        <x:v>0</x:v>
      </x:c>
      <x:c r="E18" s="33" t="n">
        <x:v>0</x:v>
      </x:c>
      <x:c r="F18" s="33" t="n">
        <x:f>SQRT(C18^2+D18^2+E18^2)</x:f>
        <x:v>0</x:v>
      </x:c>
      <x:c r="G18" s="33" t="n">
        <x:v>0.09030454119998829</x:v>
      </x:c>
      <x:c r="H18" s="33" t="n">
        <x:v>0.36426904116133385</x:v>
      </x:c>
      <x:c r="I18" s="33" t="n">
        <x:v>0.03148483774918475</x:v>
      </x:c>
      <x:c r="J18" s="33" t="n">
        <x:f>SQRT(G18^2+H18^2+I18^2)</x:f>
        <x:v>0.37661404583210967</x:v>
      </x:c>
      <x:c r="K18" s="34" t="n">
        <x:v>0.12672087259659526</x:v>
      </x:c>
      <x:c r="L18" s="34" t="n">
        <x:v>0.20817540887893282</x:v>
      </x:c>
      <x:c r="M18" s="34" t="n">
        <x:v>0.12288696402746728</x:v>
      </x:c>
      <x:c r="N18" s="34" t="n">
        <x:v>75.512097</x:v>
      </x:c>
    </x:row>
    <x:row r="19" ht="18.75" customHeight="1">
      <x:c r="A19" s="35" t="n">
        <x:v>3</x:v>
      </x:c>
      <x:c r="B19" s="36" t="str">
        <x:v>雷达＋相机</x:v>
      </x:c>
      <x:c r="C19" s="37" t="n">
        <x:v>-0.22387621027086868</x:v>
      </x:c>
      <x:c r="D19" s="37" t="n">
        <x:v>0.26931812452281256</x:v>
      </x:c>
      <x:c r="E19" s="37" t="n">
        <x:v>0.03444573456335401</x:v>
      </x:c>
      <x:c r="F19" s="37" t="n">
        <x:f>SQRT(C19^2+D19^2+E19^2)</x:f>
        <x:v>0.351908110664333</x:v>
      </x:c>
      <x:c r="G19" s="37" t="n">
        <x:v>0.09030454119998829</x:v>
      </x:c>
      <x:c r="H19" s="37" t="n">
        <x:v>0.36426904116133385</x:v>
      </x:c>
      <x:c r="I19" s="37" t="n">
        <x:v>0.03148483774918475</x:v>
      </x:c>
      <x:c r="J19" s="37" t="n">
        <x:f>SQRT(G19^2+H19^2+I19^2)</x:f>
        <x:v>0.37661404583210967</x:v>
      </x:c>
      <x:c r="K19" s="38" t="n">
        <x:v>0.04761437816370189</x:v>
      </x:c>
      <x:c r="L19" s="38" t="n">
        <x:v>0.07285981640282035</x:v>
      </x:c>
      <x:c r="M19" s="38" t="n">
        <x:v>0.12264107967191559</x:v>
      </x:c>
      <x:c r="N19" s="38" t="n">
        <x:v>75.512097</x:v>
      </x:c>
    </x:row>
    <x:row r="20" ht="18.75" customHeight="1">
      <x:c r="A20" s="23" t="n">
        <x:v>4</x:v>
      </x:c>
      <x:c r="B20" s="24" t="str">
        <x:v>仅雷达</x:v>
      </x:c>
      <x:c r="C20" s="25" t="n">
        <x:v>0</x:v>
      </x:c>
      <x:c r="D20" s="25" t="n">
        <x:v>0</x:v>
      </x:c>
      <x:c r="E20" s="25" t="n">
        <x:v>0</x:v>
      </x:c>
      <x:c r="F20" s="25" t="n">
        <x:f>SQRT(C20^2+D20^2+E20^2)</x:f>
        <x:v>0</x:v>
      </x:c>
      <x:c r="G20" s="25" t="n">
        <x:v>0.7252752936136225</x:v>
      </x:c>
      <x:c r="H20" s="25" t="n">
        <x:v>0.2384938820243323</x:v>
      </x:c>
      <x:c r="I20" s="25" t="n">
        <x:v>-0.007039242852211905</x:v>
      </x:c>
      <x:c r="J20" s="25" t="n">
        <x:f>SQRT(G20^2+H20^2+I20^2)</x:f>
        <x:v>0.7635136765175166</x:v>
      </x:c>
      <x:c r="K20" s="26" t="n">
        <x:v>0.11583714274047599</x:v>
      </x:c>
      <x:c r="L20" s="26" t="n">
        <x:v>0.19069180501659458</x:v>
      </x:c>
      <x:c r="M20" s="26" t="n">
        <x:v>0.11221331548651076</x:v>
      </x:c>
      <x:c r="N20" s="26" t="n">
        <x:v>76.512097</x:v>
      </x:c>
    </x:row>
    <x:row r="21" ht="18.75" customHeight="1">
      <x:c r="A21" s="27" t="n">
        <x:v>4</x:v>
      </x:c>
      <x:c r="B21" s="28" t="str">
        <x:v>雷达＋相机</x:v>
      </x:c>
      <x:c r="C21" s="29" t="n">
        <x:v>0.570855361516009</x:v>
      </x:c>
      <x:c r="D21" s="29" t="n">
        <x:v>0.42827117011004434</x:v>
      </x:c>
      <x:c r="E21" s="29" t="n">
        <x:v>0.03185526690907106</x:v>
      </x:c>
      <x:c r="F21" s="29" t="n">
        <x:f>SQRT(C21^2+D21^2+E21^2)</x:f>
        <x:v>0.7143576113886154</x:v>
      </x:c>
      <x:c r="G21" s="29" t="n">
        <x:v>0.7252752936136225</x:v>
      </x:c>
      <x:c r="H21" s="29" t="n">
        <x:v>0.2384938820243323</x:v>
      </x:c>
      <x:c r="I21" s="29" t="n">
        <x:v>-0.007039242852211905</x:v>
      </x:c>
      <x:c r="J21" s="29" t="n">
        <x:f>SQRT(G21^2+H21^2+I21^2)</x:f>
        <x:v>0.7635136765175166</x:v>
      </x:c>
      <x:c r="K21" s="30" t="n">
        <x:v>0.046960925351954654</x:v>
      </x:c>
      <x:c r="L21" s="30" t="n">
        <x:v>0.07143081306672973</x:v>
      </x:c>
      <x:c r="M21" s="30" t="n">
        <x:v>0.11213542711448883</x:v>
      </x:c>
      <x:c r="N21" s="30" t="n">
        <x:v>76.512097</x:v>
      </x:c>
    </x:row>
    <x:row r="22" ht="18.75" customHeight="1">
      <x:c r="A22" s="31" t="n">
        <x:v>5</x:v>
      </x:c>
      <x:c r="B22" s="32" t="str">
        <x:v>仅雷达</x:v>
      </x:c>
      <x:c r="C22" s="33" t="n">
        <x:v>-0.11564653269984126</x:v>
      </x:c>
      <x:c r="D22" s="33" t="n">
        <x:v>0.005597785397843074</x:v>
      </x:c>
      <x:c r="E22" s="33" t="n">
        <x:v>-0.00008188315336026271</x:v>
      </x:c>
      <x:c r="F22" s="33" t="n">
        <x:f>SQRT(C22^2+D22^2+E22^2)</x:f>
        <x:v>0.11578196073528278</x:v>
      </x:c>
      <x:c r="G22" s="33" t="n">
        <x:v>0.40208433391708553</x:v>
      </x:c>
      <x:c r="H22" s="33" t="n">
        <x:v>-0.30911272108983473</x:v>
      </x:c>
      <x:c r="I22" s="33" t="n">
        <x:v>-0.019881887958137747</x:v>
      </x:c>
      <x:c r="J22" s="33" t="n">
        <x:f>SQRT(G22^2+H22^2+I22^2)</x:f>
        <x:v>0.5075606125280884</x:v>
      </x:c>
      <x:c r="K22" s="34" t="n">
        <x:v>0.12679637594620477</x:v>
      </x:c>
      <x:c r="L22" s="34" t="n">
        <x:v>0.20360524853393566</x:v>
      </x:c>
      <x:c r="M22" s="34" t="n">
        <x:v>0.123217032046077</x:v>
      </x:c>
      <x:c r="N22" s="34" t="n">
        <x:v>77.512097</x:v>
      </x:c>
    </x:row>
    <x:row r="23" ht="18.75" customHeight="1">
      <x:c r="A23" s="35" t="n">
        <x:v>5</x:v>
      </x:c>
      <x:c r="B23" s="36" t="str">
        <x:v>雷达＋相机</x:v>
      </x:c>
      <x:c r="C23" s="37" t="n">
        <x:v>0.5968496479796935</x:v>
      </x:c>
      <x:c r="D23" s="37" t="n">
        <x:v>0.0177710584631533</x:v>
      </x:c>
      <x:c r="E23" s="37" t="n">
        <x:v>0.013237147641008841</x:v>
      </x:c>
      <x:c r="F23" s="37" t="n">
        <x:f>SQRT(C23^2+D23^2+E23^2)</x:f>
        <x:v>0.5972608600017707</x:v>
      </x:c>
      <x:c r="G23" s="37" t="n">
        <x:v>0.40208433391708553</x:v>
      </x:c>
      <x:c r="H23" s="37" t="n">
        <x:v>-0.30911272108983473</x:v>
      </x:c>
      <x:c r="I23" s="37" t="n">
        <x:v>-0.019881887958137747</x:v>
      </x:c>
      <x:c r="J23" s="37" t="n">
        <x:f>SQRT(G23^2+H23^2+I23^2)</x:f>
        <x:v>0.5075606125280884</x:v>
      </x:c>
      <x:c r="K23" s="38" t="n">
        <x:v>0.04834469533747655</x:v>
      </x:c>
      <x:c r="L23" s="38" t="n">
        <x:v>0.07180730307658288</x:v>
      </x:c>
      <x:c r="M23" s="38" t="n">
        <x:v>0.12276845356211828</x:v>
      </x:c>
      <x:c r="N23" s="38" t="n">
        <x:v>77.512097</x:v>
      </x:c>
    </x:row>
    <x:row r="24" ht="18.75" customHeight="1">
      <x:c r="A24" s="23" t="n">
        <x:v>6</x:v>
      </x:c>
      <x:c r="B24" s="24" t="str">
        <x:v>仅雷达</x:v>
      </x:c>
      <x:c r="C24" s="25" t="n">
        <x:v>-0.32681247743129016</x:v>
      </x:c>
      <x:c r="D24" s="25" t="n">
        <x:v>0.11252445129105404</x:v>
      </x:c>
      <x:c r="E24" s="25" t="n">
        <x:v>-0.009448302098161308</x:v>
      </x:c>
      <x:c r="F24" s="25" t="n">
        <x:f>SQRT(C24^2+D24^2+E24^2)</x:f>
        <x:v>0.3457707592548399</x:v>
      </x:c>
      <x:c r="G24" s="25" t="n">
        <x:v>-0.7058465640824103</x:v>
      </x:c>
      <x:c r="H24" s="25" t="n">
        <x:v>-0.4629316661876745</x:v>
      </x:c>
      <x:c r="I24" s="25" t="n">
        <x:v>0.0005506915443359864</x:v>
      </x:c>
      <x:c r="J24" s="25" t="n">
        <x:f>SQRT(G24^2+H24^2+I24^2)</x:f>
        <x:v>0.8441121980207474</x:v>
      </x:c>
      <x:c r="K24" s="26" t="n">
        <x:v>0.11790716555711565</x:v>
      </x:c>
      <x:c r="L24" s="26" t="n">
        <x:v>0.19330877500669919</x:v>
      </x:c>
      <x:c r="M24" s="26" t="n">
        <x:v>0.11425292896975459</x:v>
      </x:c>
      <x:c r="N24" s="26" t="n">
        <x:v>78.512097</x:v>
      </x:c>
    </x:row>
    <x:row r="25" ht="18.75" customHeight="1">
      <x:c r="A25" s="27" t="n">
        <x:v>6</x:v>
      </x:c>
      <x:c r="B25" s="28" t="str">
        <x:v>雷达＋相机</x:v>
      </x:c>
      <x:c r="C25" s="29" t="n">
        <x:v>0.003385810560070618</x:v>
      </x:c>
      <x:c r="D25" s="29" t="n">
        <x:v>-0.35840957744532</x:v>
      </x:c>
      <x:c r="E25" s="29" t="n">
        <x:v>0.03887391998444522</x:v>
      </x:c>
      <x:c r="F25" s="29" t="n">
        <x:f>SQRT(C25^2+D25^2+E25^2)</x:f>
        <x:v>0.3605274893439314</x:v>
      </x:c>
      <x:c r="G25" s="29" t="n">
        <x:v>-0.7058465640824103</x:v>
      </x:c>
      <x:c r="H25" s="29" t="n">
        <x:v>-0.4629316661876745</x:v>
      </x:c>
      <x:c r="I25" s="29" t="n">
        <x:v>0.0005506915443359864</x:v>
      </x:c>
      <x:c r="J25" s="29" t="n">
        <x:f>SQRT(G25^2+H25^2+I25^2)</x:f>
        <x:v>0.8441121980207474</x:v>
      </x:c>
      <x:c r="K25" s="30" t="n">
        <x:v>0.048608120798406415</x:v>
      </x:c>
      <x:c r="L25" s="30" t="n">
        <x:v>0.07246425577969719</x:v>
      </x:c>
      <x:c r="M25" s="30" t="n">
        <x:v>0.11378866750018332</x:v>
      </x:c>
      <x:c r="N25" s="30" t="n">
        <x:v>78.512097</x:v>
      </x:c>
    </x:row>
    <x:row r="26" ht="18.75" customHeight="1">
      <x:c r="A26" s="31" t="n">
        <x:v>7</x:v>
      </x:c>
      <x:c r="B26" s="32" t="str">
        <x:v>仅雷达</x:v>
      </x:c>
      <x:c r="C26" s="33" t="n">
        <x:v>-0.20375274170105753</x:v>
      </x:c>
      <x:c r="D26" s="33" t="n">
        <x:v>0.21232211647949023</x:v>
      </x:c>
      <x:c r="E26" s="33" t="n">
        <x:v>-0.016788573943209432</x:v>
      </x:c>
      <x:c r="F26" s="33" t="n">
        <x:f>SQRT(C26^2+D26^2+E26^2)</x:f>
        <x:v>0.2947502622765156</x:v>
      </x:c>
      <x:c r="G26" s="33" t="n">
        <x:v>-0.883027228722158</x:v>
      </x:c>
      <x:c r="H26" s="33" t="n">
        <x:v>-0.3293562080507658</x:v>
      </x:c>
      <x:c r="I26" s="33" t="n">
        <x:v>0.010825769998524557</x:v>
      </x:c>
      <x:c r="J26" s="33" t="n">
        <x:f>SQRT(G26^2+H26^2+I26^2)</x:f>
        <x:v>0.9425124910272408</x:v>
      </x:c>
      <x:c r="K26" s="34" t="n">
        <x:v>0.10809795764380654</x:v>
      </x:c>
      <x:c r="L26" s="34" t="n">
        <x:v>0.17965661534898958</x:v>
      </x:c>
      <x:c r="M26" s="34" t="n">
        <x:v>0.1047807004298942</x:v>
      </x:c>
      <x:c r="N26" s="34" t="n">
        <x:v>79.512097</x:v>
      </x:c>
    </x:row>
    <x:row r="27" ht="18.75" customHeight="1">
      <x:c r="A27" s="35" t="n">
        <x:v>7</x:v>
      </x:c>
      <x:c r="B27" s="36" t="str">
        <x:v>雷达＋相机</x:v>
      </x:c>
      <x:c r="C27" s="37" t="n">
        <x:v>-1.052282333233937</x:v>
      </x:c>
      <x:c r="D27" s="37" t="n">
        <x:v>-0.4978043675859125</x:v>
      </x:c>
      <x:c r="E27" s="37" t="n">
        <x:v>-0.06280511389687202</x:v>
      </x:c>
      <x:c r="F27" s="37" t="n">
        <x:f>SQRT(C27^2+D27^2+E27^2)</x:f>
        <x:v>1.165783761919623</x:v>
      </x:c>
      <x:c r="G27" s="37" t="n">
        <x:v>-0.883027228722158</x:v>
      </x:c>
      <x:c r="H27" s="37" t="n">
        <x:v>-0.3293562080507658</x:v>
      </x:c>
      <x:c r="I27" s="37" t="n">
        <x:v>0.010825769998524557</x:v>
      </x:c>
      <x:c r="J27" s="37" t="n">
        <x:f>SQRT(G27^2+H27^2+I27^2)</x:f>
        <x:v>0.9425124910272408</x:v>
      </x:c>
      <x:c r="K27" s="38" t="n">
        <x:v>0.04742467852858687</x:v>
      </x:c>
      <x:c r="L27" s="38" t="n">
        <x:v>0.07282864526352857</x:v>
      </x:c>
      <x:c r="M27" s="38" t="n">
        <x:v>0.10449317087252824</x:v>
      </x:c>
      <x:c r="N27" s="38" t="n">
        <x:v>79.512097</x:v>
      </x:c>
    </x:row>
    <x:row r="28" ht="18.75" customHeight="1">
      <x:c r="A28" s="23" t="n">
        <x:v>8</x:v>
      </x:c>
      <x:c r="B28" s="24" t="str">
        <x:v>仅雷达</x:v>
      </x:c>
      <x:c r="C28" s="25" t="n">
        <x:v>0.7453309572067907</x:v>
      </x:c>
      <x:c r="D28" s="25" t="n">
        <x:v>0.2727902233164228</x:v>
      </x:c>
      <x:c r="E28" s="25" t="n">
        <x:v>-0.002125878855371798</x:v>
      </x:c>
      <x:c r="F28" s="25" t="n">
        <x:f>SQRT(C28^2+D28^2+E28^2)</x:f>
        <x:v>0.7936858705235481</x:v>
      </x:c>
      <x:c r="G28" s="25" t="n">
        <x:v>-0.07050420043660999</x:v>
      </x:c>
      <x:c r="H28" s="25" t="n">
        <x:v>-0.0754079173510216</x:v>
      </x:c>
      <x:c r="I28" s="25" t="n">
        <x:v>0.00747339601957361</x:v>
      </x:c>
      <x:c r="J28" s="25" t="n">
        <x:f>SQRT(G28^2+H28^2+I28^2)</x:f>
        <x:v>0.10350385464556167</x:v>
      </x:c>
      <x:c r="K28" s="26" t="n">
        <x:v>0.10309842742010979</x:v>
      </x:c>
      <x:c r="L28" s="26" t="n">
        <x:v>0.1720652972374921</x:v>
      </x:c>
      <x:c r="M28" s="26" t="n">
        <x:v>0.09986773282340276</x:v>
      </x:c>
      <x:c r="N28" s="26" t="n">
        <x:v>80.512097</x:v>
      </x:c>
    </x:row>
    <x:row r="29" ht="18.75" customHeight="1">
      <x:c r="A29" s="27" t="n">
        <x:v>8</x:v>
      </x:c>
      <x:c r="B29" s="28" t="str">
        <x:v>雷达＋相机</x:v>
      </x:c>
      <x:c r="C29" s="29" t="n">
        <x:v>-0.4616028032940893</x:v>
      </x:c>
      <x:c r="D29" s="29" t="n">
        <x:v>-0.23866172678518233</x:v>
      </x:c>
      <x:c r="E29" s="29" t="n">
        <x:v>0.13210112955631348</x:v>
      </x:c>
      <x:c r="F29" s="29" t="n">
        <x:f>SQRT(C29^2+D29^2+E29^2)</x:f>
        <x:v>0.5361783996685251</x:v>
      </x:c>
      <x:c r="G29" s="29" t="n">
        <x:v>-0.07050420043660999</x:v>
      </x:c>
      <x:c r="H29" s="29" t="n">
        <x:v>-0.0754079173510216</x:v>
      </x:c>
      <x:c r="I29" s="29" t="n">
        <x:v>0.00747339601957361</x:v>
      </x:c>
      <x:c r="J29" s="29" t="n">
        <x:f>SQRT(G29^2+H29^2+I29^2)</x:f>
        <x:v>0.10350385464556167</x:v>
      </x:c>
      <x:c r="K29" s="30" t="n">
        <x:v>0.046767710552539185</x:v>
      </x:c>
      <x:c r="L29" s="30" t="n">
        <x:v>0.07281085058121844</x:v>
      </x:c>
      <x:c r="M29" s="30" t="n">
        <x:v>0.09910281062878125</x:v>
      </x:c>
      <x:c r="N29" s="30" t="n">
        <x:v>80.512097</x:v>
      </x:c>
    </x:row>
    <x:row r="30" ht="18.75" customHeight="1">
      <x:c r="A30" s="31" t="n">
        <x:v>9</x:v>
      </x:c>
      <x:c r="B30" s="32" t="str">
        <x:v>仅雷达</x:v>
      </x:c>
      <x:c r="C30" s="33" t="n">
        <x:v>0.5480300114991399</x:v>
      </x:c>
      <x:c r="D30" s="33" t="n">
        <x:v>0.02778141270714812</x:v>
      </x:c>
      <x:c r="E30" s="33" t="n">
        <x:v>-0.004364521326035777</x:v>
      </x:c>
      <x:c r="F30" s="33" t="n">
        <x:f>SQRT(C30^2+D30^2+E30^2)</x:f>
        <x:v>0.5487510814952056</x:v>
      </x:c>
      <x:c r="G30" s="33" t="n">
        <x:v>0.42658379991934386</x:v>
      </x:c>
      <x:c r="H30" s="33" t="n">
        <x:v>0.26778875290370496</x:v>
      </x:c>
      <x:c r="I30" s="33" t="n">
        <x:v>0.004791203165982882</x:v>
      </x:c>
      <x:c r="J30" s="33" t="n">
        <x:f>SQRT(G30^2+H30^2+I30^2)</x:f>
        <x:v>0.5036938655206414</x:v>
      </x:c>
      <x:c r="K30" s="34" t="n">
        <x:v>0.10249773851997575</x:v>
      </x:c>
      <x:c r="L30" s="34" t="n">
        <x:v>0.1683002007831777</x:v>
      </x:c>
      <x:c r="M30" s="34" t="n">
        <x:v>0.09947736805857807</x:v>
      </x:c>
      <x:c r="N30" s="34" t="n">
        <x:v>81.512097</x:v>
      </x:c>
    </x:row>
    <x:row r="31" ht="18.75" customHeight="1">
      <x:c r="A31" s="35" t="n">
        <x:v>9</x:v>
      </x:c>
      <x:c r="B31" s="36" t="str">
        <x:v>雷达＋相机</x:v>
      </x:c>
      <x:c r="C31" s="37" t="n">
        <x:v>0.30730066344606466</x:v>
      </x:c>
      <x:c r="D31" s="37" t="n">
        <x:v>0.08376587408060873</x:v>
      </x:c>
      <x:c r="E31" s="37" t="n">
        <x:v>0.10102426832230206</x:v>
      </x:c>
      <x:c r="F31" s="37" t="n">
        <x:f>SQRT(C31^2+D31^2+E31^2)</x:f>
        <x:v>0.33415014919185115</x:v>
      </x:c>
      <x:c r="G31" s="37" t="n">
        <x:v>0.42658379991934386</x:v>
      </x:c>
      <x:c r="H31" s="37" t="n">
        <x:v>0.26778875290370496</x:v>
      </x:c>
      <x:c r="I31" s="37" t="n">
        <x:v>0.004791203165982882</x:v>
      </x:c>
      <x:c r="J31" s="37" t="n">
        <x:f>SQRT(G31^2+H31^2+I31^2)</x:f>
        <x:v>0.5036938655206414</x:v>
      </x:c>
      <x:c r="K31" s="38" t="n">
        <x:v>0.047376408884138584</x:v>
      </x:c>
      <x:c r="L31" s="38" t="n">
        <x:v>0.07378120201371909</x:v>
      </x:c>
      <x:c r="M31" s="38" t="n">
        <x:v>0.09898259162171019</x:v>
      </x:c>
      <x:c r="N31" s="38" t="n">
        <x:v>81.512097</x:v>
      </x:c>
    </x:row>
  </x:sheetData>
  <x:pageMargins left="0.7" right="0.7" top="0.75" bottom="0.75" header="0.3" footer="0.3"/>
</x:worksheet>
</file>